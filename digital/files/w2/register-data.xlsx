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سجل" sheetId="1" state="visible" r:id="rId1"/>
    <sheet name="أسئلة المدي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1F4E78"/>
      <sz val="13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eave2025" displayName="Leave2025" ref="A1:F61" headerRowCount="1">
  <autoFilter ref="A1:F61"/>
  <tableColumns count="6">
    <tableColumn id="1" name="ت"/>
    <tableColumn id="2" name="الاسم"/>
    <tableColumn id="3" name="الرقم الوظيفي"/>
    <tableColumn id="4" name="الشعبة"/>
    <tableColumn id="5" name="أيام الإجازة"/>
    <tableColumn id="6" name="شهر أطول إجازة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0" customWidth="1" min="4" max="4"/>
    <col width="14" customWidth="1" min="5" max="5"/>
    <col width="18" customWidth="1" min="6" max="6"/>
  </cols>
  <sheetData>
    <row r="1">
      <c r="A1" s="1" t="inlineStr">
        <is>
          <t>ت</t>
        </is>
      </c>
      <c r="B1" s="1" t="inlineStr">
        <is>
          <t>الاسم</t>
        </is>
      </c>
      <c r="C1" s="1" t="inlineStr">
        <is>
          <t>الرقم الوظيفي</t>
        </is>
      </c>
      <c r="D1" s="1" t="inlineStr">
        <is>
          <t>الشعبة</t>
        </is>
      </c>
      <c r="E1" s="1" t="inlineStr">
        <is>
          <t>أيام الإجازة</t>
        </is>
      </c>
      <c r="F1" s="1" t="inlineStr">
        <is>
          <t>شهر أطول إجازة</t>
        </is>
      </c>
    </row>
    <row r="2">
      <c r="A2" s="2" t="n">
        <v>1</v>
      </c>
      <c r="B2" s="2" t="inlineStr">
        <is>
          <t>منتظر هادي</t>
        </is>
      </c>
      <c r="C2" s="2" t="n">
        <v>4102</v>
      </c>
      <c r="D2" s="2" t="inlineStr">
        <is>
          <t>الموارد البشرية</t>
        </is>
      </c>
      <c r="E2" s="2" t="n">
        <v>9</v>
      </c>
      <c r="F2" s="2" t="inlineStr">
        <is>
          <t>تموز</t>
        </is>
      </c>
    </row>
    <row r="3">
      <c r="A3" s="2" t="n">
        <v>2</v>
      </c>
      <c r="B3" s="2" t="inlineStr">
        <is>
          <t>أحمد فاضل</t>
        </is>
      </c>
      <c r="C3" s="2" t="n">
        <v>4108</v>
      </c>
      <c r="D3" s="2" t="inlineStr">
        <is>
          <t>الحسابات</t>
        </is>
      </c>
      <c r="E3" s="2" t="n">
        <v>17</v>
      </c>
      <c r="F3" s="2" t="inlineStr">
        <is>
          <t>كانون الأول</t>
        </is>
      </c>
    </row>
    <row r="4">
      <c r="A4" s="2" t="n">
        <v>3</v>
      </c>
      <c r="B4" s="2" t="inlineStr">
        <is>
          <t>فاطمة ناصر</t>
        </is>
      </c>
      <c r="C4" s="2" t="n">
        <v>4116</v>
      </c>
      <c r="D4" s="2" t="inlineStr">
        <is>
          <t>الشؤون القانونية</t>
        </is>
      </c>
      <c r="E4" s="2" t="n">
        <v>28</v>
      </c>
      <c r="F4" s="2" t="inlineStr">
        <is>
          <t>آب</t>
        </is>
      </c>
    </row>
    <row r="5">
      <c r="A5" s="2" t="n">
        <v>4</v>
      </c>
      <c r="B5" s="2" t="inlineStr">
        <is>
          <t>زينب موسى</t>
        </is>
      </c>
      <c r="C5" s="2" t="n">
        <v>4126</v>
      </c>
      <c r="D5" s="2" t="inlineStr">
        <is>
          <t>التخطيط والمتابعة</t>
        </is>
      </c>
      <c r="E5" s="2" t="n">
        <v>6</v>
      </c>
      <c r="F5" s="2" t="inlineStr">
        <is>
          <t>حزيران</t>
        </is>
      </c>
    </row>
    <row r="6">
      <c r="A6" s="2" t="n">
        <v>5</v>
      </c>
      <c r="B6" s="2" t="inlineStr">
        <is>
          <t>رقية ناصر</t>
        </is>
      </c>
      <c r="C6" s="2" t="n">
        <v>4131</v>
      </c>
      <c r="D6" s="2" t="inlineStr">
        <is>
          <t>الخدمات</t>
        </is>
      </c>
      <c r="E6" s="2" t="n">
        <v>21</v>
      </c>
      <c r="F6" s="2" t="inlineStr">
        <is>
          <t>أيلول</t>
        </is>
      </c>
    </row>
    <row r="7">
      <c r="A7" s="2" t="n">
        <v>6</v>
      </c>
      <c r="B7" s="2" t="inlineStr">
        <is>
          <t>محمد هادي</t>
        </is>
      </c>
      <c r="C7" s="2" t="n">
        <v>4136</v>
      </c>
      <c r="D7" s="2" t="inlineStr">
        <is>
          <t>الموارد البشرية</t>
        </is>
      </c>
      <c r="E7" s="2" t="n">
        <v>7</v>
      </c>
      <c r="F7" s="2" t="inlineStr">
        <is>
          <t>آب</t>
        </is>
      </c>
    </row>
    <row r="8">
      <c r="A8" s="2" t="n">
        <v>7</v>
      </c>
      <c r="B8" s="2" t="inlineStr">
        <is>
          <t>نور ناصر</t>
        </is>
      </c>
      <c r="C8" s="2" t="n">
        <v>4142</v>
      </c>
      <c r="D8" s="2" t="inlineStr">
        <is>
          <t>الحسابات</t>
        </is>
      </c>
      <c r="E8" s="2" t="n">
        <v>11</v>
      </c>
      <c r="F8" s="2" t="inlineStr">
        <is>
          <t>تشرين الثاني</t>
        </is>
      </c>
    </row>
    <row r="9">
      <c r="A9" s="2" t="n">
        <v>8</v>
      </c>
      <c r="B9" s="2" t="inlineStr">
        <is>
          <t>سارة إبراهيم</t>
        </is>
      </c>
      <c r="C9" s="2" t="n">
        <v>4152</v>
      </c>
      <c r="D9" s="2" t="inlineStr">
        <is>
          <t>الشؤون القانونية</t>
        </is>
      </c>
      <c r="E9" s="2" t="n">
        <v>23</v>
      </c>
      <c r="F9" s="2" t="inlineStr">
        <is>
          <t>حزيران</t>
        </is>
      </c>
    </row>
    <row r="10">
      <c r="A10" s="2" t="n">
        <v>9</v>
      </c>
      <c r="B10" s="2" t="inlineStr">
        <is>
          <t>كرار عادل</t>
        </is>
      </c>
      <c r="C10" s="2" t="n">
        <v>4160</v>
      </c>
      <c r="D10" s="2" t="inlineStr">
        <is>
          <t>التخطيط والمتابعة</t>
        </is>
      </c>
      <c r="E10" s="2" t="n">
        <v>6</v>
      </c>
      <c r="F10" s="2" t="inlineStr">
        <is>
          <t>تموز</t>
        </is>
      </c>
    </row>
    <row r="11">
      <c r="A11" s="2" t="n">
        <v>10</v>
      </c>
      <c r="B11" s="2" t="inlineStr">
        <is>
          <t>زهراء فاضل</t>
        </is>
      </c>
      <c r="C11" s="2" t="n">
        <v>4163</v>
      </c>
      <c r="D11" s="2" t="inlineStr">
        <is>
          <t>الخدمات</t>
        </is>
      </c>
      <c r="E11" s="2" t="n">
        <v>26</v>
      </c>
      <c r="F11" s="2" t="inlineStr">
        <is>
          <t>أيلول</t>
        </is>
      </c>
    </row>
    <row r="12">
      <c r="A12" s="2" t="n">
        <v>11</v>
      </c>
      <c r="B12" s="2" t="inlineStr">
        <is>
          <t>عباس هادي</t>
        </is>
      </c>
      <c r="C12" s="2" t="n">
        <v>4170</v>
      </c>
      <c r="D12" s="2" t="inlineStr">
        <is>
          <t>الخدمات</t>
        </is>
      </c>
      <c r="E12" s="2" t="n">
        <v>22</v>
      </c>
      <c r="F12" s="2" t="inlineStr">
        <is>
          <t>حزيران</t>
        </is>
      </c>
    </row>
    <row r="13">
      <c r="A13" s="2" t="n">
        <v>12</v>
      </c>
      <c r="B13" s="2" t="inlineStr">
        <is>
          <t>قاسم هادي</t>
        </is>
      </c>
      <c r="C13" s="2" t="n">
        <v>4178</v>
      </c>
      <c r="D13" s="2" t="inlineStr">
        <is>
          <t>الحسابات</t>
        </is>
      </c>
      <c r="E13" s="2" t="n">
        <v>30</v>
      </c>
      <c r="F13" s="2" t="inlineStr">
        <is>
          <t>آب</t>
        </is>
      </c>
    </row>
    <row r="14">
      <c r="A14" s="2" t="n">
        <v>13</v>
      </c>
      <c r="B14" s="2" t="inlineStr">
        <is>
          <t>مهدي كاظم</t>
        </is>
      </c>
      <c r="C14" s="2" t="n">
        <v>4184</v>
      </c>
      <c r="D14" s="2" t="inlineStr">
        <is>
          <t>الشؤون القانونية</t>
        </is>
      </c>
      <c r="E14" s="2" t="n">
        <v>9</v>
      </c>
      <c r="F14" s="2" t="inlineStr">
        <is>
          <t>نيسان</t>
        </is>
      </c>
    </row>
    <row r="15">
      <c r="A15" s="2" t="n">
        <v>14</v>
      </c>
      <c r="B15" s="2" t="inlineStr">
        <is>
          <t>سارة جاسم</t>
        </is>
      </c>
      <c r="C15" s="2" t="n">
        <v>4191</v>
      </c>
      <c r="D15" s="2" t="inlineStr">
        <is>
          <t>التخطيط والمتابعة</t>
        </is>
      </c>
      <c r="E15" s="2" t="n">
        <v>3</v>
      </c>
      <c r="F15" s="2" t="inlineStr">
        <is>
          <t>كانون الأول</t>
        </is>
      </c>
    </row>
    <row r="16">
      <c r="A16" s="2" t="n">
        <v>15</v>
      </c>
      <c r="B16" s="2" t="inlineStr">
        <is>
          <t>أحمد موسى</t>
        </is>
      </c>
      <c r="C16" s="2" t="n">
        <v>4200</v>
      </c>
      <c r="D16" s="2" t="inlineStr">
        <is>
          <t>الخدمات</t>
        </is>
      </c>
      <c r="E16" s="2" t="n">
        <v>0</v>
      </c>
      <c r="F16" s="2" t="inlineStr">
        <is>
          <t>—</t>
        </is>
      </c>
    </row>
    <row r="17">
      <c r="A17" s="2" t="n">
        <v>16</v>
      </c>
      <c r="B17" s="2" t="inlineStr">
        <is>
          <t>عباس رضا</t>
        </is>
      </c>
      <c r="C17" s="2" t="n">
        <v>4206</v>
      </c>
      <c r="D17" s="2" t="inlineStr">
        <is>
          <t>الموارد البشرية</t>
        </is>
      </c>
      <c r="E17" s="2" t="n">
        <v>27</v>
      </c>
      <c r="F17" s="2" t="inlineStr">
        <is>
          <t>آب</t>
        </is>
      </c>
    </row>
    <row r="18">
      <c r="A18" s="2" t="n">
        <v>17</v>
      </c>
      <c r="B18" s="2" t="inlineStr">
        <is>
          <t>مهدي كريم</t>
        </is>
      </c>
      <c r="C18" s="2" t="n">
        <v>4216</v>
      </c>
      <c r="D18" s="2" t="inlineStr">
        <is>
          <t>الحسابات</t>
        </is>
      </c>
      <c r="E18" s="2" t="n">
        <v>13</v>
      </c>
      <c r="F18" s="2" t="inlineStr">
        <is>
          <t>تموز</t>
        </is>
      </c>
    </row>
    <row r="19">
      <c r="A19" s="2" t="n">
        <v>18</v>
      </c>
      <c r="B19" s="2" t="inlineStr">
        <is>
          <t>بنين صالح</t>
        </is>
      </c>
      <c r="C19" s="2" t="n">
        <v>4223</v>
      </c>
      <c r="D19" s="2" t="inlineStr">
        <is>
          <t>الشؤون القانونية</t>
        </is>
      </c>
      <c r="E19" s="2" t="n">
        <v>9</v>
      </c>
      <c r="F19" s="2" t="inlineStr">
        <is>
          <t>حزيران</t>
        </is>
      </c>
    </row>
    <row r="20">
      <c r="A20" s="2" t="n">
        <v>19</v>
      </c>
      <c r="B20" s="2" t="inlineStr">
        <is>
          <t>نور خليل</t>
        </is>
      </c>
      <c r="C20" s="2" t="n">
        <v>4229</v>
      </c>
      <c r="D20" s="2" t="inlineStr">
        <is>
          <t>التخطيط والمتابعة</t>
        </is>
      </c>
      <c r="E20" s="2" t="n">
        <v>27</v>
      </c>
      <c r="F20" s="2" t="inlineStr">
        <is>
          <t>آب</t>
        </is>
      </c>
    </row>
    <row r="21">
      <c r="A21" s="2" t="n">
        <v>20</v>
      </c>
      <c r="B21" s="2" t="inlineStr">
        <is>
          <t>مهدي جاسم</t>
        </is>
      </c>
      <c r="C21" s="2" t="n">
        <v>4237</v>
      </c>
      <c r="D21" s="2" t="inlineStr">
        <is>
          <t>الخدمات</t>
        </is>
      </c>
      <c r="E21" s="2" t="n">
        <v>24</v>
      </c>
      <c r="F21" s="2" t="inlineStr">
        <is>
          <t>آب</t>
        </is>
      </c>
    </row>
    <row r="22">
      <c r="A22" s="2" t="n">
        <v>21</v>
      </c>
      <c r="B22" s="2" t="inlineStr">
        <is>
          <t>بنين عادل</t>
        </is>
      </c>
      <c r="C22" s="2" t="n">
        <v>4244</v>
      </c>
      <c r="D22" s="2" t="inlineStr">
        <is>
          <t>الموارد البشرية</t>
        </is>
      </c>
      <c r="E22" s="2" t="n">
        <v>14</v>
      </c>
      <c r="F22" s="2" t="inlineStr">
        <is>
          <t>نيسان</t>
        </is>
      </c>
    </row>
    <row r="23">
      <c r="A23" s="2" t="n">
        <v>22</v>
      </c>
      <c r="B23" s="2" t="inlineStr">
        <is>
          <t>أنور عبد الله</t>
        </is>
      </c>
      <c r="C23" s="2" t="n">
        <v>4252</v>
      </c>
      <c r="D23" s="2" t="inlineStr">
        <is>
          <t>الحسابات</t>
        </is>
      </c>
      <c r="E23" s="2" t="n">
        <v>4</v>
      </c>
      <c r="F23" s="2" t="inlineStr">
        <is>
          <t>أيلول</t>
        </is>
      </c>
    </row>
    <row r="24">
      <c r="A24" s="2" t="n">
        <v>23</v>
      </c>
      <c r="B24" s="2" t="inlineStr">
        <is>
          <t>رقية إبراهيم</t>
        </is>
      </c>
      <c r="C24" s="2" t="n">
        <v>4257</v>
      </c>
      <c r="D24" s="2" t="inlineStr">
        <is>
          <t>الشؤون القانونية</t>
        </is>
      </c>
      <c r="E24" s="2" t="n">
        <v>5</v>
      </c>
      <c r="F24" s="2" t="inlineStr">
        <is>
          <t>شباط</t>
        </is>
      </c>
    </row>
    <row r="25">
      <c r="A25" s="2" t="n">
        <v>24</v>
      </c>
      <c r="B25" s="2" t="inlineStr">
        <is>
          <t>محمد صالح</t>
        </is>
      </c>
      <c r="C25" s="2" t="n">
        <v>4261</v>
      </c>
      <c r="D25" s="2" t="inlineStr">
        <is>
          <t>التخطيط والمتابعة</t>
        </is>
      </c>
      <c r="E25" s="2" t="n">
        <v>20</v>
      </c>
      <c r="F25" s="2" t="inlineStr">
        <is>
          <t>أيلول</t>
        </is>
      </c>
    </row>
    <row r="26">
      <c r="A26" s="2" t="n">
        <v>25</v>
      </c>
      <c r="B26" s="2" t="inlineStr">
        <is>
          <t>سعد فاضل</t>
        </is>
      </c>
      <c r="C26" s="2" t="n">
        <v>4271</v>
      </c>
      <c r="D26" s="2" t="inlineStr">
        <is>
          <t>الخدمات</t>
        </is>
      </c>
      <c r="E26" s="2" t="n">
        <v>17</v>
      </c>
      <c r="F26" s="2" t="inlineStr">
        <is>
          <t>تموز</t>
        </is>
      </c>
    </row>
    <row r="27">
      <c r="A27" s="2" t="n">
        <v>26</v>
      </c>
      <c r="B27" s="2" t="inlineStr">
        <is>
          <t>أنور كاظم</t>
        </is>
      </c>
      <c r="C27" s="2" t="n">
        <v>4277</v>
      </c>
      <c r="D27" s="2" t="inlineStr">
        <is>
          <t>الموارد البشرية</t>
        </is>
      </c>
      <c r="E27" s="2" t="n">
        <v>3</v>
      </c>
      <c r="F27" s="2" t="inlineStr">
        <is>
          <t>آذار</t>
        </is>
      </c>
    </row>
    <row r="28">
      <c r="A28" s="2" t="n">
        <v>27</v>
      </c>
      <c r="B28" s="2" t="inlineStr">
        <is>
          <t>بنين إبراهيم</t>
        </is>
      </c>
      <c r="C28" s="2" t="n">
        <v>4286</v>
      </c>
      <c r="D28" s="2" t="inlineStr">
        <is>
          <t>الحسابات</t>
        </is>
      </c>
      <c r="E28" s="2" t="n">
        <v>10</v>
      </c>
      <c r="F28" s="2" t="inlineStr">
        <is>
          <t>كانون الثاني</t>
        </is>
      </c>
    </row>
    <row r="29">
      <c r="A29" s="2" t="n">
        <v>28</v>
      </c>
      <c r="B29" s="2" t="inlineStr">
        <is>
          <t>حوراء هادي</t>
        </is>
      </c>
      <c r="C29" s="2" t="n">
        <v>4293</v>
      </c>
      <c r="D29" s="2" t="inlineStr">
        <is>
          <t>الشؤون القانونية</t>
        </is>
      </c>
      <c r="E29" s="2" t="n">
        <v>8</v>
      </c>
      <c r="F29" s="2" t="inlineStr">
        <is>
          <t>آب</t>
        </is>
      </c>
    </row>
    <row r="30">
      <c r="A30" s="2" t="n">
        <v>29</v>
      </c>
      <c r="B30" s="2" t="inlineStr">
        <is>
          <t>سعد صالح</t>
        </is>
      </c>
      <c r="C30" s="2" t="n">
        <v>4296</v>
      </c>
      <c r="D30" s="2" t="inlineStr">
        <is>
          <t>التخطيط والمتابعة</t>
        </is>
      </c>
      <c r="E30" s="2" t="n">
        <v>19</v>
      </c>
      <c r="F30" s="2" t="inlineStr">
        <is>
          <t>حزيران</t>
        </is>
      </c>
    </row>
    <row r="31">
      <c r="A31" s="2" t="n">
        <v>30</v>
      </c>
      <c r="B31" s="2" t="inlineStr">
        <is>
          <t>حيدر عبد الله</t>
        </is>
      </c>
      <c r="C31" s="2" t="n">
        <v>4303</v>
      </c>
      <c r="D31" s="2" t="inlineStr">
        <is>
          <t>الخدمات</t>
        </is>
      </c>
      <c r="E31" s="2" t="n">
        <v>27</v>
      </c>
      <c r="F31" s="2" t="inlineStr">
        <is>
          <t>آب</t>
        </is>
      </c>
    </row>
    <row r="32">
      <c r="A32" s="2" t="n">
        <v>31</v>
      </c>
      <c r="B32" s="2" t="inlineStr">
        <is>
          <t>جعفر موسى</t>
        </is>
      </c>
      <c r="C32" s="2" t="n">
        <v>4312</v>
      </c>
      <c r="D32" s="2" t="inlineStr">
        <is>
          <t>الخدمات</t>
        </is>
      </c>
      <c r="E32" s="2" t="n">
        <v>29</v>
      </c>
      <c r="F32" s="2" t="inlineStr">
        <is>
          <t>كانون الثاني</t>
        </is>
      </c>
    </row>
    <row r="33">
      <c r="A33" s="2" t="n">
        <v>32</v>
      </c>
      <c r="B33" s="2" t="inlineStr">
        <is>
          <t>رسل حسين</t>
        </is>
      </c>
      <c r="C33" s="2" t="n">
        <v>4322</v>
      </c>
      <c r="D33" s="2" t="inlineStr">
        <is>
          <t>الحسابات</t>
        </is>
      </c>
      <c r="E33" s="2" t="n">
        <v>15</v>
      </c>
      <c r="F33" s="2" t="inlineStr">
        <is>
          <t>حزيران</t>
        </is>
      </c>
    </row>
    <row r="34">
      <c r="A34" s="2" t="n">
        <v>33</v>
      </c>
      <c r="B34" s="2" t="inlineStr">
        <is>
          <t>رسل فاضل</t>
        </is>
      </c>
      <c r="C34" s="2" t="n">
        <v>4324</v>
      </c>
      <c r="D34" s="2" t="inlineStr">
        <is>
          <t>الشؤون القانونية</t>
        </is>
      </c>
      <c r="E34" s="2" t="n">
        <v>10</v>
      </c>
      <c r="F34" s="2" t="inlineStr">
        <is>
          <t>نيسان</t>
        </is>
      </c>
    </row>
    <row r="35">
      <c r="A35" s="2" t="n">
        <v>34</v>
      </c>
      <c r="B35" s="2" t="inlineStr">
        <is>
          <t>قاسم إبراهيم</t>
        </is>
      </c>
      <c r="C35" s="2" t="n">
        <v>4335</v>
      </c>
      <c r="D35" s="2" t="inlineStr">
        <is>
          <t>التخطيط والمتابعة</t>
        </is>
      </c>
      <c r="E35" s="2" t="n">
        <v>17</v>
      </c>
      <c r="F35" s="2" t="inlineStr">
        <is>
          <t>حزيران</t>
        </is>
      </c>
    </row>
    <row r="36">
      <c r="A36" s="2" t="n">
        <v>35</v>
      </c>
      <c r="B36" s="2" t="inlineStr">
        <is>
          <t>سارة هادي</t>
        </is>
      </c>
      <c r="C36" s="2" t="n">
        <v>4339</v>
      </c>
      <c r="D36" s="2" t="inlineStr">
        <is>
          <t>الخدمات</t>
        </is>
      </c>
      <c r="E36" s="2" t="n">
        <v>24</v>
      </c>
      <c r="F36" s="2" t="inlineStr">
        <is>
          <t>آب</t>
        </is>
      </c>
    </row>
    <row r="37">
      <c r="A37" s="2" t="n">
        <v>36</v>
      </c>
      <c r="B37" s="2" t="inlineStr">
        <is>
          <t>علي طالب</t>
        </is>
      </c>
      <c r="C37" s="2" t="n">
        <v>4348</v>
      </c>
      <c r="D37" s="2" t="inlineStr">
        <is>
          <t>الموارد البشرية</t>
        </is>
      </c>
      <c r="E37" s="2" t="n">
        <v>17</v>
      </c>
      <c r="F37" s="2" t="inlineStr">
        <is>
          <t>تموز</t>
        </is>
      </c>
    </row>
    <row r="38">
      <c r="A38" s="2" t="n">
        <v>37</v>
      </c>
      <c r="B38" s="2" t="inlineStr">
        <is>
          <t>فاطمة خليل</t>
        </is>
      </c>
      <c r="C38" s="2" t="n">
        <v>4353</v>
      </c>
      <c r="D38" s="2" t="inlineStr">
        <is>
          <t>الحسابات</t>
        </is>
      </c>
      <c r="E38" s="2" t="n">
        <v>16</v>
      </c>
      <c r="F38" s="2" t="inlineStr">
        <is>
          <t>آب</t>
        </is>
      </c>
    </row>
    <row r="39">
      <c r="A39" s="2" t="n">
        <v>38</v>
      </c>
      <c r="B39" s="2" t="inlineStr">
        <is>
          <t>قاسم رضا</t>
        </is>
      </c>
      <c r="C39" s="2" t="n">
        <v>4360</v>
      </c>
      <c r="D39" s="2" t="inlineStr">
        <is>
          <t>الشؤون القانونية</t>
        </is>
      </c>
      <c r="E39" s="2" t="n">
        <v>0</v>
      </c>
      <c r="F39" s="2" t="inlineStr">
        <is>
          <t>—</t>
        </is>
      </c>
    </row>
    <row r="40">
      <c r="A40" s="2" t="n">
        <v>39</v>
      </c>
      <c r="B40" s="2" t="inlineStr">
        <is>
          <t>أحمد رضا</t>
        </is>
      </c>
      <c r="C40" s="2" t="n">
        <v>4368</v>
      </c>
      <c r="D40" s="2" t="inlineStr">
        <is>
          <t>التخطيط والمتابعة</t>
        </is>
      </c>
      <c r="E40" s="2" t="n">
        <v>5</v>
      </c>
      <c r="F40" s="2" t="inlineStr">
        <is>
          <t>أيار</t>
        </is>
      </c>
    </row>
    <row r="41">
      <c r="A41" s="2" t="n">
        <v>40</v>
      </c>
      <c r="B41" s="2" t="inlineStr">
        <is>
          <t>مصطفى هادي</t>
        </is>
      </c>
      <c r="C41" s="2" t="n">
        <v>4376</v>
      </c>
      <c r="D41" s="2" t="inlineStr">
        <is>
          <t>الخدمات</t>
        </is>
      </c>
      <c r="E41" s="2" t="n">
        <v>0</v>
      </c>
      <c r="F41" s="2" t="inlineStr">
        <is>
          <t>—</t>
        </is>
      </c>
    </row>
    <row r="42">
      <c r="A42" s="2" t="n">
        <v>41</v>
      </c>
      <c r="B42" s="2" t="inlineStr">
        <is>
          <t>مهدي خليل</t>
        </is>
      </c>
      <c r="C42" s="2" t="n">
        <v>4384</v>
      </c>
      <c r="D42" s="2" t="inlineStr">
        <is>
          <t>الخدمات</t>
        </is>
      </c>
      <c r="E42" s="2" t="n">
        <v>22</v>
      </c>
      <c r="F42" s="2" t="inlineStr">
        <is>
          <t>تشرين الثاني</t>
        </is>
      </c>
    </row>
    <row r="43">
      <c r="A43" s="2" t="n">
        <v>42</v>
      </c>
      <c r="B43" s="2" t="inlineStr">
        <is>
          <t>منتظر طالب</t>
        </is>
      </c>
      <c r="C43" s="2" t="n">
        <v>4389</v>
      </c>
      <c r="D43" s="2" t="inlineStr">
        <is>
          <t>الحسابات</t>
        </is>
      </c>
      <c r="E43" s="2" t="n">
        <v>0</v>
      </c>
      <c r="F43" s="2" t="inlineStr">
        <is>
          <t>—</t>
        </is>
      </c>
    </row>
    <row r="44">
      <c r="A44" s="2" t="n">
        <v>43</v>
      </c>
      <c r="B44" s="2" t="inlineStr">
        <is>
          <t>رقية حسين</t>
        </is>
      </c>
      <c r="C44" s="2" t="n">
        <v>4394</v>
      </c>
      <c r="D44" s="2" t="inlineStr">
        <is>
          <t>الشؤون القانونية</t>
        </is>
      </c>
      <c r="E44" s="2" t="n">
        <v>6</v>
      </c>
      <c r="F44" s="2" t="inlineStr">
        <is>
          <t>تشرين الثاني</t>
        </is>
      </c>
    </row>
    <row r="45">
      <c r="A45" s="2" t="n">
        <v>44</v>
      </c>
      <c r="B45" s="2" t="inlineStr">
        <is>
          <t>زينب حسين</t>
        </is>
      </c>
      <c r="C45" s="2" t="n">
        <v>4402</v>
      </c>
      <c r="D45" s="2" t="inlineStr">
        <is>
          <t>التخطيط والمتابعة</t>
        </is>
      </c>
      <c r="E45" s="2" t="n">
        <v>15</v>
      </c>
      <c r="F45" s="2" t="inlineStr">
        <is>
          <t>حزيران</t>
        </is>
      </c>
    </row>
    <row r="46">
      <c r="A46" s="2" t="n">
        <v>45</v>
      </c>
      <c r="B46" s="2" t="inlineStr">
        <is>
          <t>زينب رضا</t>
        </is>
      </c>
      <c r="C46" s="2" t="n">
        <v>4410</v>
      </c>
      <c r="D46" s="2" t="inlineStr">
        <is>
          <t>الخدمات</t>
        </is>
      </c>
      <c r="E46" s="2" t="n">
        <v>17</v>
      </c>
      <c r="F46" s="2" t="inlineStr">
        <is>
          <t>أيلول</t>
        </is>
      </c>
    </row>
    <row r="47">
      <c r="A47" s="2" t="n">
        <v>46</v>
      </c>
      <c r="B47" s="2" t="inlineStr">
        <is>
          <t>مهدي حسين</t>
        </is>
      </c>
      <c r="C47" s="2" t="n">
        <v>4415</v>
      </c>
      <c r="D47" s="2" t="inlineStr">
        <is>
          <t>الخدمات</t>
        </is>
      </c>
      <c r="E47" s="2" t="n">
        <v>21</v>
      </c>
      <c r="F47" s="2" t="inlineStr">
        <is>
          <t>كانون الأول</t>
        </is>
      </c>
    </row>
    <row r="48">
      <c r="A48" s="2" t="n">
        <v>47</v>
      </c>
      <c r="B48" s="2" t="inlineStr">
        <is>
          <t>بنين حسين</t>
        </is>
      </c>
      <c r="C48" s="2" t="n">
        <v>4423</v>
      </c>
      <c r="D48" s="2" t="inlineStr">
        <is>
          <t>الحسابات</t>
        </is>
      </c>
      <c r="E48" s="2" t="n">
        <v>6</v>
      </c>
      <c r="F48" s="2" t="inlineStr">
        <is>
          <t>أيار</t>
        </is>
      </c>
    </row>
    <row r="49">
      <c r="A49" s="2" t="n">
        <v>48</v>
      </c>
      <c r="B49" s="2" t="inlineStr">
        <is>
          <t>هدى هادي</t>
        </is>
      </c>
      <c r="C49" s="2" t="n">
        <v>4429</v>
      </c>
      <c r="D49" s="2" t="inlineStr">
        <is>
          <t>الخدمات</t>
        </is>
      </c>
      <c r="E49" s="2" t="n">
        <v>22</v>
      </c>
      <c r="F49" s="2" t="inlineStr">
        <is>
          <t>أيار</t>
        </is>
      </c>
    </row>
    <row r="50">
      <c r="A50" s="2" t="n">
        <v>49</v>
      </c>
      <c r="B50" s="2" t="inlineStr">
        <is>
          <t>رسل هادي</t>
        </is>
      </c>
      <c r="C50" s="2" t="n">
        <v>4441</v>
      </c>
      <c r="D50" s="2" t="inlineStr">
        <is>
          <t>التخطيط والمتابعة</t>
        </is>
      </c>
      <c r="E50" s="2" t="n">
        <v>20</v>
      </c>
      <c r="F50" s="2" t="inlineStr">
        <is>
          <t>آذار</t>
        </is>
      </c>
    </row>
    <row r="51">
      <c r="A51" s="2" t="n">
        <v>50</v>
      </c>
      <c r="B51" s="2" t="inlineStr">
        <is>
          <t>مريم إبراهيم</t>
        </is>
      </c>
      <c r="C51" s="2" t="n">
        <v>4444</v>
      </c>
      <c r="D51" s="2" t="inlineStr">
        <is>
          <t>الخدمات</t>
        </is>
      </c>
      <c r="E51" s="2" t="n">
        <v>15</v>
      </c>
      <c r="F51" s="2" t="inlineStr">
        <is>
          <t>حزيران</t>
        </is>
      </c>
    </row>
    <row r="52">
      <c r="A52" s="2" t="n">
        <v>51</v>
      </c>
      <c r="B52" s="2" t="inlineStr">
        <is>
          <t>بنين فاضل</t>
        </is>
      </c>
      <c r="C52" s="2" t="n">
        <v>4451</v>
      </c>
      <c r="D52" s="2" t="inlineStr">
        <is>
          <t>التخطيط والمتابعة</t>
        </is>
      </c>
      <c r="E52" s="2" t="n">
        <v>20</v>
      </c>
      <c r="F52" s="2" t="inlineStr">
        <is>
          <t>نيسان</t>
        </is>
      </c>
    </row>
    <row r="53">
      <c r="A53" s="2" t="n">
        <v>52</v>
      </c>
      <c r="B53" s="2" t="inlineStr">
        <is>
          <t>منتظر خليل</t>
        </is>
      </c>
      <c r="C53" s="2" t="n">
        <v>4461</v>
      </c>
      <c r="D53" s="2" t="inlineStr">
        <is>
          <t>الخدمات</t>
        </is>
      </c>
      <c r="E53" s="2" t="n">
        <v>22</v>
      </c>
      <c r="F53" s="2" t="inlineStr">
        <is>
          <t>أيار</t>
        </is>
      </c>
    </row>
    <row r="54">
      <c r="A54" s="2" t="n">
        <v>53</v>
      </c>
      <c r="B54" s="2" t="inlineStr">
        <is>
          <t>نور سلمان</t>
        </is>
      </c>
      <c r="C54" s="2" t="n">
        <v>4467</v>
      </c>
      <c r="D54" s="2" t="inlineStr">
        <is>
          <t>الخدمات</t>
        </is>
      </c>
      <c r="E54" s="2" t="n">
        <v>3</v>
      </c>
      <c r="F54" s="2" t="inlineStr">
        <is>
          <t>كانون الأول</t>
        </is>
      </c>
    </row>
    <row r="55">
      <c r="A55" s="2" t="n">
        <v>54</v>
      </c>
      <c r="B55" s="2" t="inlineStr">
        <is>
          <t>مصطفى جاسم</t>
        </is>
      </c>
      <c r="C55" s="2" t="n">
        <v>4476</v>
      </c>
      <c r="D55" s="2" t="inlineStr">
        <is>
          <t>الحسابات</t>
        </is>
      </c>
      <c r="E55" s="2" t="n">
        <v>9</v>
      </c>
      <c r="F55" s="2" t="inlineStr">
        <is>
          <t>نيسان</t>
        </is>
      </c>
    </row>
    <row r="56">
      <c r="A56" s="2" t="n">
        <v>55</v>
      </c>
      <c r="B56" s="2" t="inlineStr">
        <is>
          <t>أحمد خليل</t>
        </is>
      </c>
      <c r="C56" s="2" t="n">
        <v>4480</v>
      </c>
      <c r="D56" s="2" t="inlineStr">
        <is>
          <t>الموارد البشرية</t>
        </is>
      </c>
      <c r="E56" s="2" t="n">
        <v>19</v>
      </c>
      <c r="F56" s="2" t="inlineStr">
        <is>
          <t>حزيران</t>
        </is>
      </c>
    </row>
    <row r="57">
      <c r="A57" s="2" t="n">
        <v>56</v>
      </c>
      <c r="B57" s="2" t="inlineStr">
        <is>
          <t>مهدي هادي</t>
        </is>
      </c>
      <c r="C57" s="2" t="n">
        <v>4490</v>
      </c>
      <c r="D57" s="2" t="inlineStr">
        <is>
          <t>الخدمات</t>
        </is>
      </c>
      <c r="E57" s="2" t="n">
        <v>19</v>
      </c>
      <c r="F57" s="2" t="inlineStr">
        <is>
          <t>تموز</t>
        </is>
      </c>
    </row>
    <row r="58">
      <c r="A58" s="2" t="n">
        <v>57</v>
      </c>
      <c r="B58" s="2" t="inlineStr">
        <is>
          <t>هدى فاضل</t>
        </is>
      </c>
      <c r="C58" s="2" t="n">
        <v>4496</v>
      </c>
      <c r="D58" s="2" t="inlineStr">
        <is>
          <t>التخطيط والمتابعة</t>
        </is>
      </c>
      <c r="E58" s="2" t="n">
        <v>20</v>
      </c>
      <c r="F58" s="2" t="inlineStr">
        <is>
          <t>آب</t>
        </is>
      </c>
    </row>
    <row r="59">
      <c r="A59" s="2" t="n">
        <v>58</v>
      </c>
      <c r="B59" s="2" t="inlineStr">
        <is>
          <t>رقية موسى</t>
        </is>
      </c>
      <c r="C59" s="2" t="n">
        <v>4500</v>
      </c>
      <c r="D59" s="2" t="inlineStr">
        <is>
          <t>التخطيط والمتابعة</t>
        </is>
      </c>
      <c r="E59" s="2" t="n">
        <v>14</v>
      </c>
      <c r="F59" s="2" t="inlineStr">
        <is>
          <t>أيلول</t>
        </is>
      </c>
    </row>
    <row r="60">
      <c r="A60" s="2" t="n">
        <v>59</v>
      </c>
      <c r="B60" s="2" t="inlineStr">
        <is>
          <t>سارة سلمان</t>
        </is>
      </c>
      <c r="C60" s="2" t="n">
        <v>4510</v>
      </c>
      <c r="D60" s="2" t="inlineStr">
        <is>
          <t>الموارد البشرية</t>
        </is>
      </c>
      <c r="E60" s="2" t="n">
        <v>29</v>
      </c>
      <c r="F60" s="2" t="inlineStr">
        <is>
          <t>حزيران</t>
        </is>
      </c>
    </row>
    <row r="61">
      <c r="A61" s="2" t="n">
        <v>60</v>
      </c>
      <c r="B61" s="2" t="inlineStr">
        <is>
          <t>سجاد حسين</t>
        </is>
      </c>
      <c r="C61" s="2" t="n">
        <v>4515</v>
      </c>
      <c r="D61" s="2" t="inlineStr">
        <is>
          <t>الموارد البشرية</t>
        </is>
      </c>
      <c r="E61" s="2" t="n">
        <v>4</v>
      </c>
      <c r="F61" s="2" t="inlineStr">
        <is>
          <t>آذار</t>
        </is>
      </c>
    </row>
  </sheetData>
  <conditionalFormatting sqref="E2:E61">
    <cfRule type="cellIs" priority="1" operator="greaterThan" dxfId="0">
      <formula>20</formula>
    </cfRule>
    <cfRule type="cellIs" priority="2" operator="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3" t="inlineStr">
        <is>
          <t>السؤال الأصلي</t>
        </is>
      </c>
    </row>
    <row r="2">
      <c r="A2" s="4" t="inlineStr">
        <is>
          <t>كم موظفاً تجاوز ٢٠ يوم إجازة؟</t>
        </is>
      </c>
      <c r="B2" s="5">
        <f>COUNTIF('السجل'!$E$2:$E$61,"&gt;20")</f>
        <v/>
      </c>
    </row>
    <row r="3">
      <c r="A3" s="4" t="inlineStr">
        <is>
          <t>كم موظفاً لم يأخذ إجازة إطلاقاً؟ (مؤشر إرهاق)</t>
        </is>
      </c>
      <c r="B3" s="5">
        <f>COUNTIF('السجل'!$E$2:$E$61,0)</f>
        <v/>
      </c>
    </row>
    <row r="4">
      <c r="A4" s="4" t="inlineStr">
        <is>
          <t>متوسط أيام الإجازة للموظف</t>
        </is>
      </c>
      <c r="B4" s="6">
        <f>ROUND(AVERAGE('السجل'!$E$2:$E$61),1)</f>
        <v/>
      </c>
    </row>
    <row r="5"/>
    <row r="6">
      <c r="A6" s="3" t="inlineStr">
        <is>
          <t>من تجاوز ٢٠ يوماً — حسب الشعبة</t>
        </is>
      </c>
    </row>
    <row r="7">
      <c r="A7" s="4" t="inlineStr">
        <is>
          <t>الموارد البشرية</t>
        </is>
      </c>
      <c r="B7" s="6">
        <f>COUNTIFS('السجل'!$D$2:$D$61,A7,'السجل'!$E$2:$E$61,"&gt;20")</f>
        <v/>
      </c>
    </row>
    <row r="8">
      <c r="A8" s="4" t="inlineStr">
        <is>
          <t>الحسابات</t>
        </is>
      </c>
      <c r="B8" s="6">
        <f>COUNTIFS('السجل'!$D$2:$D$61,A8,'السجل'!$E$2:$E$61,"&gt;20")</f>
        <v/>
      </c>
    </row>
    <row r="9">
      <c r="A9" s="4" t="inlineStr">
        <is>
          <t>الشؤون القانونية</t>
        </is>
      </c>
      <c r="B9" s="6">
        <f>COUNTIFS('السجل'!$D$2:$D$61,A9,'السجل'!$E$2:$E$61,"&gt;20")</f>
        <v/>
      </c>
    </row>
    <row r="10">
      <c r="A10" s="4" t="inlineStr">
        <is>
          <t>التخطيط والمتابعة</t>
        </is>
      </c>
      <c r="B10" s="6">
        <f>COUNTIFS('السجل'!$D$2:$D$61,A10,'السجل'!$E$2:$E$61,"&gt;20")</f>
        <v/>
      </c>
    </row>
    <row r="11">
      <c r="A11" s="4" t="inlineStr">
        <is>
          <t>الخدمات</t>
        </is>
      </c>
      <c r="B11" s="6">
        <f>COUNTIFS('السجل'!$D$2:$D$61,A11,'السجل'!$E$2:$E$61,"&gt;20")</f>
        <v/>
      </c>
    </row>
    <row r="12"/>
    <row r="13">
      <c r="A13" s="3" t="inlineStr">
        <is>
          <t>في أي شهر تكثر الإجازات الطويلة؟</t>
        </is>
      </c>
    </row>
    <row r="14">
      <c r="A14" s="4" t="inlineStr">
        <is>
          <t>كانون الثاني</t>
        </is>
      </c>
      <c r="B14" s="6">
        <f>COUNTIF('السجل'!$F$2:$F$61,A14)</f>
        <v/>
      </c>
    </row>
    <row r="15">
      <c r="A15" s="4" t="inlineStr">
        <is>
          <t>شباط</t>
        </is>
      </c>
      <c r="B15" s="6">
        <f>COUNTIF('السجل'!$F$2:$F$61,A15)</f>
        <v/>
      </c>
    </row>
    <row r="16">
      <c r="A16" s="4" t="inlineStr">
        <is>
          <t>آذار</t>
        </is>
      </c>
      <c r="B16" s="6">
        <f>COUNTIF('السجل'!$F$2:$F$61,A16)</f>
        <v/>
      </c>
    </row>
    <row r="17">
      <c r="A17" s="4" t="inlineStr">
        <is>
          <t>نيسان</t>
        </is>
      </c>
      <c r="B17" s="6">
        <f>COUNTIF('السجل'!$F$2:$F$61,A17)</f>
        <v/>
      </c>
    </row>
    <row r="18">
      <c r="A18" s="4" t="inlineStr">
        <is>
          <t>أيار</t>
        </is>
      </c>
      <c r="B18" s="6">
        <f>COUNTIF('السجل'!$F$2:$F$61,A18)</f>
        <v/>
      </c>
    </row>
    <row r="19">
      <c r="A19" s="4" t="inlineStr">
        <is>
          <t>حزيران</t>
        </is>
      </c>
      <c r="B19" s="6">
        <f>COUNTIF('السجل'!$F$2:$F$61,A19)</f>
        <v/>
      </c>
    </row>
    <row r="20">
      <c r="A20" s="4" t="inlineStr">
        <is>
          <t>تموز</t>
        </is>
      </c>
      <c r="B20" s="6">
        <f>COUNTIF('السجل'!$F$2:$F$61,A20)</f>
        <v/>
      </c>
    </row>
    <row r="21">
      <c r="A21" s="4" t="inlineStr">
        <is>
          <t>آب</t>
        </is>
      </c>
      <c r="B21" s="6">
        <f>COUNTIF('السجل'!$F$2:$F$61,A21)</f>
        <v/>
      </c>
    </row>
    <row r="22">
      <c r="A22" s="4" t="inlineStr">
        <is>
          <t>أيلول</t>
        </is>
      </c>
      <c r="B22" s="6">
        <f>COUNTIF('السجل'!$F$2:$F$61,A22)</f>
        <v/>
      </c>
    </row>
    <row r="23">
      <c r="A23" s="4" t="inlineStr">
        <is>
          <t>تشرين الأول</t>
        </is>
      </c>
      <c r="B23" s="6">
        <f>COUNTIF('السجل'!$F$2:$F$61,A23)</f>
        <v/>
      </c>
    </row>
    <row r="24">
      <c r="A24" s="4" t="inlineStr">
        <is>
          <t>تشرين الثاني</t>
        </is>
      </c>
      <c r="B24" s="6">
        <f>COUNTIF('السجل'!$F$2:$F$61,A24)</f>
        <v/>
      </c>
    </row>
    <row r="25">
      <c r="A25" s="4" t="inlineStr">
        <is>
          <t>كانون الأول</t>
        </is>
      </c>
      <c r="B25" s="6">
        <f>COUNTIF('السجل'!$F$2:$F$61,A25)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2026-09-28T04:36:30Z</dcterms:created>
  <dcterms:modified xsi:type="dcterms:W3CDTF">2026-09-28T04:36:30Z</dcterms:modified>
</cp:coreProperties>
</file>